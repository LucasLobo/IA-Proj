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cas\Documents\_IST\IA\IA-Proj\proj1\"/>
    </mc:Choice>
  </mc:AlternateContent>
  <xr:revisionPtr revIDLastSave="0" documentId="13_ncr:1_{09F8A75E-9BBA-4C51-BBFB-AAA33862E46E}" xr6:coauthVersionLast="37" xr6:coauthVersionMax="37" xr10:uidLastSave="{00000000-0000-0000-0000-000000000000}"/>
  <bookViews>
    <workbookView xWindow="0" yWindow="0" windowWidth="28800" windowHeight="12165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9" i="1" l="1"/>
  <c r="Q30" i="1"/>
  <c r="Q31" i="1"/>
  <c r="Q11" i="1"/>
  <c r="Q12" i="1"/>
  <c r="Q13" i="1"/>
  <c r="Q17" i="1"/>
  <c r="Q18" i="1"/>
  <c r="Q19" i="1"/>
  <c r="Q23" i="1"/>
  <c r="Q24" i="1"/>
  <c r="Q25" i="1"/>
</calcChain>
</file>

<file path=xl/sharedStrings.xml><?xml version="1.0" encoding="utf-8"?>
<sst xmlns="http://schemas.openxmlformats.org/spreadsheetml/2006/main" count="56" uniqueCount="13">
  <si>
    <t>5x5</t>
  </si>
  <si>
    <t>Gerados</t>
  </si>
  <si>
    <t>Expandidos</t>
  </si>
  <si>
    <t>DFS</t>
  </si>
  <si>
    <t>Greedy</t>
  </si>
  <si>
    <t>A*</t>
  </si>
  <si>
    <t>4x4</t>
  </si>
  <si>
    <t>4x5</t>
  </si>
  <si>
    <t>4x6</t>
  </si>
  <si>
    <t>Time (s)</t>
  </si>
  <si>
    <t>Otimizado</t>
  </si>
  <si>
    <t>Não Otimizado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</si>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</sst>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right"/>
    </xf>
    <xf numFmtId="0" fontId="2" fillId="2" borderId="0" xfId="2" applyAlignment="1">
      <alignment horizontal="center"/>
    </xf>
    <xf numFmtId="0" fontId="4" fillId="0" borderId="0" xfId="4"/>
    <xf numFmtId="0" fontId="4" fillId="0" borderId="0" xfId="4" applyAlignment="1">
      <alignment horizontal="right"/>
    </xf>
    <xf numFmtId="43" fontId="0" fillId="0" borderId="0" xfId="1" applyFont="1" applyAlignment="1">
      <alignment horizontal="right"/>
    </xf>
    <xf numFmtId="43" fontId="4" fillId="0" borderId="0" xfId="1" applyFont="1" applyAlignment="1">
      <alignment horizontal="right"/>
    </xf>
    <xf numFmtId="0" fontId="3" fillId="3" borderId="0" xfId="3" applyAlignment="1">
      <alignment horizontal="center"/>
    </xf>
  </cellXfs>
  <cellStyles count="5">
    <cellStyle name="Bad" xfId="3" builtinId="27"/>
    <cellStyle name="Comma" xfId="1" builtinId="3"/>
    <cellStyle name="Explanatory Text" xfId="4" builtinId="53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8:Q31"/>
  <sheetViews>
    <sheetView tabSelected="1" topLeftCell="F4" workbookViewId="0">
      <selection activeCell="Q17" sqref="Q17"/>
    </sheetView>
  </sheetViews>
  <sheetFormatPr defaultRowHeight="15" x14ac:dyDescent="0.25"/>
  <cols>
    <col min="1" max="9" width="9.140625" customWidth="1"/>
    <col min="10" max="17" width="10.7109375" customWidth="1"/>
  </cols>
  <sheetData>
    <row r="8" spans="10:17" x14ac:dyDescent="0.25">
      <c r="J8" s="7" t="s">
        <v>11</v>
      </c>
      <c r="K8" s="7"/>
      <c r="L8" s="7"/>
      <c r="N8" s="2" t="s">
        <v>10</v>
      </c>
      <c r="O8" s="2"/>
      <c r="P8" s="2"/>
      <c r="Q8" s="2"/>
    </row>
    <row r="10" spans="10:17" x14ac:dyDescent="0.25">
      <c r="J10" s="3" t="s">
        <v>0</v>
      </c>
      <c r="K10" s="4" t="s">
        <v>2</v>
      </c>
      <c r="L10" s="4" t="s">
        <v>1</v>
      </c>
      <c r="M10" s="3"/>
      <c r="N10" s="3" t="s">
        <v>0</v>
      </c>
      <c r="O10" s="4" t="s">
        <v>2</v>
      </c>
      <c r="P10" s="4" t="s">
        <v>1</v>
      </c>
      <c r="Q10" s="4" t="s">
        <v>9</v>
      </c>
    </row>
    <row r="11" spans="10:17" x14ac:dyDescent="0.25">
      <c r="J11" t="s">
        <v>3</v>
      </c>
      <c r="K11" s="1">
        <v>12</v>
      </c>
      <c r="L11" s="1">
        <v>13</v>
      </c>
      <c r="N11" t="s">
        <v>3</v>
      </c>
      <c r="O11" s="1">
        <v>12</v>
      </c>
      <c r="P11" s="1">
        <v>13</v>
      </c>
      <c r="Q11" s="5">
        <f>AVERAGE(16+47,16+31,16+47)/1000</f>
        <v>5.7666666666666665E-2</v>
      </c>
    </row>
    <row r="12" spans="10:17" x14ac:dyDescent="0.25">
      <c r="J12" t="s">
        <v>4</v>
      </c>
      <c r="K12" s="1">
        <v>12</v>
      </c>
      <c r="L12" s="1">
        <v>14</v>
      </c>
      <c r="N12" t="s">
        <v>4</v>
      </c>
      <c r="O12" s="1">
        <v>12</v>
      </c>
      <c r="P12" s="1">
        <v>14</v>
      </c>
      <c r="Q12" s="5">
        <f>AVERAGE(31+31,63+16,31+47)/1000</f>
        <v>7.2999999999999995E-2</v>
      </c>
    </row>
    <row r="13" spans="10:17" x14ac:dyDescent="0.25">
      <c r="J13" t="s">
        <v>5</v>
      </c>
      <c r="K13" s="1">
        <v>10</v>
      </c>
      <c r="L13" s="1">
        <v>12</v>
      </c>
      <c r="N13" t="s">
        <v>5</v>
      </c>
      <c r="O13" s="1">
        <v>10</v>
      </c>
      <c r="P13" s="1">
        <v>12</v>
      </c>
      <c r="Q13" s="5">
        <f>AVERAGE(31+47,47,47+16)/1000</f>
        <v>6.2666666666666662E-2</v>
      </c>
    </row>
    <row r="14" spans="10:17" x14ac:dyDescent="0.25">
      <c r="K14" s="1"/>
      <c r="L14" s="1"/>
      <c r="O14" s="1"/>
      <c r="P14" s="1"/>
      <c r="Q14" s="5"/>
    </row>
    <row r="15" spans="10:17" x14ac:dyDescent="0.25">
      <c r="K15" s="1"/>
      <c r="L15" s="1"/>
      <c r="O15" s="1"/>
      <c r="P15" s="1"/>
      <c r="Q15" s="5"/>
    </row>
    <row r="16" spans="10:17" x14ac:dyDescent="0.25">
      <c r="J16" s="3" t="s">
        <v>6</v>
      </c>
      <c r="K16" s="4" t="s">
        <v>2</v>
      </c>
      <c r="L16" s="4" t="s">
        <v>1</v>
      </c>
      <c r="M16" s="3"/>
      <c r="N16" s="3" t="s">
        <v>6</v>
      </c>
      <c r="O16" s="4" t="s">
        <v>2</v>
      </c>
      <c r="P16" s="4" t="s">
        <v>1</v>
      </c>
      <c r="Q16" s="6" t="s">
        <v>9</v>
      </c>
    </row>
    <row r="17" spans="10:17" x14ac:dyDescent="0.25">
      <c r="J17" t="s">
        <v>3</v>
      </c>
      <c r="K17" s="1">
        <v>5984</v>
      </c>
      <c r="L17" s="1">
        <v>5985</v>
      </c>
      <c r="N17" t="s">
        <v>3</v>
      </c>
      <c r="O17" s="1">
        <v>266</v>
      </c>
      <c r="P17" s="1">
        <v>267</v>
      </c>
      <c r="Q17" s="5">
        <f>AVERAGE(94+16,94+31,94+16)/1000</f>
        <v>0.115</v>
      </c>
    </row>
    <row r="18" spans="10:17" x14ac:dyDescent="0.25">
      <c r="J18" t="s">
        <v>4</v>
      </c>
      <c r="K18" s="1">
        <v>79</v>
      </c>
      <c r="L18" s="1">
        <v>81</v>
      </c>
      <c r="N18" t="s">
        <v>4</v>
      </c>
      <c r="O18" s="1">
        <v>52</v>
      </c>
      <c r="P18" s="1">
        <v>54</v>
      </c>
      <c r="Q18" s="5">
        <f>AVERAGE(125+47,141+31,156+16)/1000</f>
        <v>0.17199999999999999</v>
      </c>
    </row>
    <row r="19" spans="10:17" x14ac:dyDescent="0.25">
      <c r="J19" t="s">
        <v>5</v>
      </c>
      <c r="K19" s="1">
        <v>88</v>
      </c>
      <c r="L19" s="1">
        <v>90</v>
      </c>
      <c r="N19" t="s">
        <v>5</v>
      </c>
      <c r="O19" s="1">
        <v>62</v>
      </c>
      <c r="P19" s="1">
        <v>64</v>
      </c>
      <c r="Q19" s="5">
        <f>AVERAGE(188+16,156+31,156+16)/1000</f>
        <v>0.18766666666666665</v>
      </c>
    </row>
    <row r="20" spans="10:17" x14ac:dyDescent="0.25">
      <c r="K20" s="1"/>
      <c r="L20" s="1"/>
      <c r="O20" s="1"/>
      <c r="P20" s="1"/>
      <c r="Q20" s="5"/>
    </row>
    <row r="21" spans="10:17" x14ac:dyDescent="0.25">
      <c r="K21" s="1"/>
      <c r="L21" s="1"/>
      <c r="O21" s="1"/>
      <c r="P21" s="1"/>
      <c r="Q21" s="5"/>
    </row>
    <row r="22" spans="10:17" x14ac:dyDescent="0.25">
      <c r="J22" s="3" t="s">
        <v>7</v>
      </c>
      <c r="K22" s="4" t="s">
        <v>2</v>
      </c>
      <c r="L22" s="4" t="s">
        <v>1</v>
      </c>
      <c r="M22" s="3"/>
      <c r="N22" s="3" t="s">
        <v>7</v>
      </c>
      <c r="O22" s="4" t="s">
        <v>2</v>
      </c>
      <c r="P22" s="4" t="s">
        <v>1</v>
      </c>
      <c r="Q22" s="6" t="s">
        <v>9</v>
      </c>
    </row>
    <row r="23" spans="10:17" x14ac:dyDescent="0.25">
      <c r="J23" t="s">
        <v>3</v>
      </c>
      <c r="K23" s="1">
        <v>53636</v>
      </c>
      <c r="L23" s="1">
        <v>53637</v>
      </c>
      <c r="N23" t="s">
        <v>3</v>
      </c>
      <c r="O23" s="1">
        <v>551</v>
      </c>
      <c r="P23" s="1">
        <v>552</v>
      </c>
      <c r="Q23" s="5">
        <f>AVERAGE(188+16,203+16,188+47)/1000</f>
        <v>0.21933333333333335</v>
      </c>
    </row>
    <row r="24" spans="10:17" x14ac:dyDescent="0.25">
      <c r="J24" t="s">
        <v>4</v>
      </c>
      <c r="K24" s="1">
        <v>2081</v>
      </c>
      <c r="L24" s="1">
        <v>2083</v>
      </c>
      <c r="N24" t="s">
        <v>4</v>
      </c>
      <c r="O24" s="1">
        <v>204</v>
      </c>
      <c r="P24" s="1">
        <v>206</v>
      </c>
      <c r="Q24" s="5">
        <f>AVERAGE(375+47,344+63,406+16)/1000</f>
        <v>0.41699999999999998</v>
      </c>
    </row>
    <row r="25" spans="10:17" x14ac:dyDescent="0.25">
      <c r="J25" t="s">
        <v>5</v>
      </c>
      <c r="K25" s="1">
        <v>1911</v>
      </c>
      <c r="L25" s="1">
        <v>1913</v>
      </c>
      <c r="N25" t="s">
        <v>5</v>
      </c>
      <c r="O25" s="1">
        <v>197</v>
      </c>
      <c r="P25" s="1">
        <v>199</v>
      </c>
      <c r="Q25" s="5">
        <f>AVERAGE(406+16,438+31,422+31)/1000</f>
        <v>0.44800000000000001</v>
      </c>
    </row>
    <row r="26" spans="10:17" x14ac:dyDescent="0.25">
      <c r="K26" s="1"/>
      <c r="L26" s="1"/>
      <c r="O26" s="1"/>
      <c r="P26" s="1"/>
      <c r="Q26" s="5"/>
    </row>
    <row r="27" spans="10:17" x14ac:dyDescent="0.25">
      <c r="K27" s="1"/>
      <c r="L27" s="1"/>
      <c r="O27" s="1"/>
      <c r="P27" s="1"/>
      <c r="Q27" s="5"/>
    </row>
    <row r="28" spans="10:17" x14ac:dyDescent="0.25">
      <c r="J28" s="3" t="s">
        <v>8</v>
      </c>
      <c r="K28" s="4" t="s">
        <v>2</v>
      </c>
      <c r="L28" s="4" t="s">
        <v>1</v>
      </c>
      <c r="M28" s="3"/>
      <c r="N28" s="3" t="s">
        <v>8</v>
      </c>
      <c r="O28" s="4" t="s">
        <v>2</v>
      </c>
      <c r="P28" s="4" t="s">
        <v>1</v>
      </c>
      <c r="Q28" s="6" t="s">
        <v>9</v>
      </c>
    </row>
    <row r="29" spans="10:17" x14ac:dyDescent="0.25">
      <c r="J29" t="s">
        <v>3</v>
      </c>
      <c r="K29" s="1" t="s">
        <v>12</v>
      </c>
      <c r="L29" s="1" t="s">
        <v>12</v>
      </c>
      <c r="N29" t="s">
        <v>3</v>
      </c>
      <c r="O29" s="1">
        <v>6510</v>
      </c>
      <c r="P29" s="1">
        <v>6511</v>
      </c>
      <c r="Q29" s="5">
        <f>AVERAGE(3922+141,3953+109,4000+47)/1000</f>
        <v>4.0573333333333332</v>
      </c>
    </row>
    <row r="30" spans="10:17" x14ac:dyDescent="0.25">
      <c r="J30" t="s">
        <v>4</v>
      </c>
      <c r="K30" s="1">
        <v>320</v>
      </c>
      <c r="L30" s="1">
        <v>322</v>
      </c>
      <c r="N30" t="s">
        <v>4</v>
      </c>
      <c r="O30" s="1">
        <v>92</v>
      </c>
      <c r="P30" s="1">
        <v>94</v>
      </c>
      <c r="Q30" s="5">
        <f>AVERAGE(984+94,1016+78,1000+78)/1000</f>
        <v>1.0833333333333333</v>
      </c>
    </row>
    <row r="31" spans="10:17" x14ac:dyDescent="0.25">
      <c r="J31" t="s">
        <v>5</v>
      </c>
      <c r="K31" s="1">
        <v>37</v>
      </c>
      <c r="L31" s="1">
        <v>39</v>
      </c>
      <c r="N31" t="s">
        <v>5</v>
      </c>
      <c r="O31" s="1">
        <v>33</v>
      </c>
      <c r="P31" s="1">
        <v>35</v>
      </c>
      <c r="Q31" s="5">
        <f>AVERAGE(234+0,219+31,219+31)/1000</f>
        <v>0.24466666666666664</v>
      </c>
    </row>
  </sheetData>
  <mergeCells count="1">
    <mergeCell ref="J8:L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Fell</dc:creator>
  <cp:lastModifiedBy>Lucas Fell</cp:lastModifiedBy>
  <dcterms:created xsi:type="dcterms:W3CDTF">2018-10-24T10:29:07Z</dcterms:created>
  <dcterms:modified xsi:type="dcterms:W3CDTF">2018-10-25T19:48:33Z</dcterms:modified>
</cp:coreProperties>
</file>